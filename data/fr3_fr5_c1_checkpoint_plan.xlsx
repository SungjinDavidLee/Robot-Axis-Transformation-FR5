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에폭 비교" sheetId="1" state="visible" r:id="rId3"/>
    <sheet name="dry 추종 확인" sheetId="2" state="visible" r:id="rId4"/>
    <sheet name="위험·규칙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<sst xmlns="http://schemas.openxmlformats.org/spreadsheetml/2006/main" count="116" uniqueCount="106">
  <si>
    <r>
      <rPr>
        <b val="true"/>
        <sz val="13"/>
        <rFont val="Noto Sans CJK SC"/>
        <family val="2"/>
      </rPr>
      <t xml:space="preserve">학습량 비교 — 스텝이 아니라 에폭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같은 샘플 반복 횟수</t>
    </r>
    <r>
      <rPr>
        <b val="true"/>
        <sz val="13"/>
        <rFont val="Arial"/>
        <family val="0"/>
        <charset val="1"/>
      </rPr>
      <t xml:space="preserve">)</t>
    </r>
    <r>
      <rPr>
        <b val="true"/>
        <sz val="13"/>
        <rFont val="Noto Sans CJK SC"/>
        <family val="2"/>
      </rPr>
      <t xml:space="preserve">으로 본다</t>
    </r>
  </si>
  <si>
    <r>
      <rPr>
        <sz val="9"/>
        <color rgb="FF595959"/>
        <rFont val="Noto Sans CJK SC"/>
        <family val="2"/>
      </rPr>
      <t xml:space="preserve">파란 글씨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Noto Sans CJK SC"/>
        <family val="2"/>
      </rPr>
      <t xml:space="preserve">입력값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출처는 오른쪽 열</t>
    </r>
    <r>
      <rPr>
        <sz val="9"/>
        <color rgb="FF595959"/>
        <rFont val="Arial"/>
        <family val="0"/>
        <charset val="1"/>
      </rPr>
      <t xml:space="preserve">), </t>
    </r>
    <r>
      <rPr>
        <sz val="9"/>
        <color rgb="FF595959"/>
        <rFont val="Noto Sans CJK SC"/>
        <family val="2"/>
      </rPr>
      <t xml:space="preserve">검은 글씨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Noto Sans CJK SC"/>
        <family val="2"/>
      </rPr>
      <t xml:space="preserve">수식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입력값을 바꾸면 표 전체가 다시 계산된다</t>
    </r>
    <r>
      <rPr>
        <sz val="9"/>
        <color rgb="FF595959"/>
        <rFont val="Arial"/>
        <family val="0"/>
        <charset val="1"/>
      </rPr>
      <t xml:space="preserve">.</t>
    </r>
  </si>
  <si>
    <t xml:space="preserve">가정</t>
  </si>
  <si>
    <t xml:space="preserve">값</t>
  </si>
  <si>
    <t xml:space="preserve">출처</t>
  </si>
  <si>
    <r>
      <rPr>
        <sz val="10"/>
        <rFont val="Arial"/>
        <family val="0"/>
        <charset val="1"/>
      </rPr>
      <t xml:space="preserve">FR5 </t>
    </r>
    <r>
      <rPr>
        <sz val="10"/>
        <rFont val="Noto Sans CJK SC"/>
        <family val="2"/>
      </rPr>
      <t xml:space="preserve">프레임 수</t>
    </r>
  </si>
  <si>
    <r>
      <rPr>
        <sz val="9"/>
        <color rgb="FF595959"/>
        <rFont val="Arial"/>
        <family val="0"/>
        <charset val="1"/>
      </rPr>
      <t xml:space="preserve">fr5_task6_abs meta/info.json total_frames [</t>
    </r>
    <r>
      <rPr>
        <sz val="9"/>
        <color rgb="FF595959"/>
        <rFont val="Noto Sans CJK SC"/>
        <family val="2"/>
      </rPr>
      <t xml:space="preserve">확인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</si>
  <si>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FR3 </t>
    </r>
    <r>
      <rPr>
        <sz val="10"/>
        <rFont val="Noto Sans CJK SC"/>
        <family val="2"/>
      </rPr>
      <t xml:space="preserve">프레임 수</t>
    </r>
  </si>
  <si>
    <r>
      <rPr>
        <sz val="9"/>
        <color rgb="FF595959"/>
        <rFont val="Arial"/>
        <family val="0"/>
        <charset val="1"/>
      </rPr>
      <t xml:space="preserve">task6_franka_v5 meta/info.json total_frames [</t>
    </r>
    <r>
      <rPr>
        <sz val="9"/>
        <color rgb="FF595959"/>
        <rFont val="Noto Sans CJK SC"/>
        <family val="2"/>
      </rPr>
      <t xml:space="preserve">확인</t>
    </r>
    <r>
      <rPr>
        <sz val="9"/>
        <color rgb="FF595959"/>
        <rFont val="Arial"/>
        <family val="0"/>
        <charset val="1"/>
      </rPr>
      <t xml:space="preserve">]</t>
    </r>
  </si>
  <si>
    <t xml:space="preserve">합친 프레임 수</t>
  </si>
  <si>
    <r>
      <rPr>
        <sz val="9"/>
        <color rgb="FF595959"/>
        <rFont val="Arial"/>
        <family val="0"/>
        <charset val="1"/>
      </rPr>
      <t xml:space="preserve">aggregate </t>
    </r>
    <r>
      <rPr>
        <sz val="9"/>
        <color rgb="FF595959"/>
        <rFont val="Noto Sans CJK SC"/>
        <family val="2"/>
      </rPr>
      <t xml:space="preserve">결과 </t>
    </r>
    <r>
      <rPr>
        <sz val="9"/>
        <color rgb="FF595959"/>
        <rFont val="Arial"/>
        <family val="0"/>
        <charset val="1"/>
      </rPr>
      <t xml:space="preserve">21,863</t>
    </r>
    <r>
      <rPr>
        <sz val="9"/>
        <color rgb="FF595959"/>
        <rFont val="Noto Sans CJK SC"/>
        <family val="2"/>
      </rPr>
      <t xml:space="preserve">과 일치해야 함 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확인</t>
    </r>
    <r>
      <rPr>
        <sz val="9"/>
        <color rgb="FF595959"/>
        <rFont val="Arial"/>
        <family val="0"/>
        <charset val="1"/>
      </rPr>
      <t xml:space="preserve">]</t>
    </r>
  </si>
  <si>
    <t xml:space="preserve">batch</t>
  </si>
  <si>
    <r>
      <rPr>
        <sz val="9"/>
        <color rgb="FF595959"/>
        <rFont val="Arial"/>
        <family val="0"/>
        <charset val="1"/>
      </rPr>
      <t xml:space="preserve">fr5_task6_abs 6000</t>
    </r>
    <r>
      <rPr>
        <sz val="9"/>
        <color rgb="FF595959"/>
        <rFont val="Noto Sans CJK SC"/>
        <family val="2"/>
      </rPr>
      <t xml:space="preserve">스텝 체크포인트 </t>
    </r>
    <r>
      <rPr>
        <sz val="9"/>
        <color rgb="FF595959"/>
        <rFont val="Arial"/>
        <family val="0"/>
        <charset val="1"/>
      </rPr>
      <t xml:space="preserve">train_config.json batch_size [</t>
    </r>
    <r>
      <rPr>
        <sz val="9"/>
        <color rgb="FF595959"/>
        <rFont val="Noto Sans CJK SC"/>
        <family val="2"/>
      </rPr>
      <t xml:space="preserve">확인</t>
    </r>
    <r>
      <rPr>
        <sz val="9"/>
        <color rgb="FF595959"/>
        <rFont val="Arial"/>
        <family val="0"/>
        <charset val="1"/>
      </rPr>
      <t xml:space="preserve">]</t>
    </r>
  </si>
  <si>
    <t xml:space="preserve">과적합 확인 에폭</t>
  </si>
  <si>
    <r>
      <rPr>
        <sz val="9"/>
        <color rgb="FF595959"/>
        <rFont val="Arial"/>
        <family val="0"/>
        <charset val="1"/>
      </rPr>
      <t xml:space="preserve">FR5 12k </t>
    </r>
    <r>
      <rPr>
        <sz val="9"/>
        <color rgb="FF595959"/>
        <rFont val="Noto Sans CJK SC"/>
        <family val="2"/>
      </rPr>
      <t xml:space="preserve">행 에폭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공간 추종 </t>
    </r>
    <r>
      <rPr>
        <sz val="9"/>
        <color rgb="FF595959"/>
        <rFont val="Arial"/>
        <family val="0"/>
        <charset val="1"/>
      </rPr>
      <t xml:space="preserve">0.35 → 0.1 (RESULTS 6.2) [</t>
    </r>
    <r>
      <rPr>
        <sz val="9"/>
        <color rgb="FF595959"/>
        <rFont val="Noto Sans CJK SC"/>
        <family val="2"/>
      </rPr>
      <t xml:space="preserve">확인</t>
    </r>
    <r>
      <rPr>
        <sz val="9"/>
        <color rgb="FF595959"/>
        <rFont val="Arial"/>
        <family val="0"/>
        <charset val="1"/>
      </rPr>
      <t xml:space="preserve">]</t>
    </r>
  </si>
  <si>
    <t xml:space="preserve">조건</t>
  </si>
  <si>
    <t xml:space="preserve">데이터</t>
  </si>
  <si>
    <t xml:space="preserve">학습 프레임 수</t>
  </si>
  <si>
    <r>
      <rPr>
        <b val="true"/>
        <sz val="10"/>
        <rFont val="Arial"/>
        <family val="0"/>
        <charset val="1"/>
      </rPr>
      <t xml:space="preserve">FR5 </t>
    </r>
    <r>
      <rPr>
        <b val="true"/>
        <sz val="10"/>
        <rFont val="Noto Sans CJK SC"/>
        <family val="2"/>
      </rPr>
      <t xml:space="preserve">프레임 비율</t>
    </r>
  </si>
  <si>
    <t xml:space="preserve">스텝</t>
  </si>
  <si>
    <t xml:space="preserve">샘플 수</t>
  </si>
  <si>
    <t xml:space="preserve">에폭</t>
  </si>
  <si>
    <r>
      <rPr>
        <b val="true"/>
        <sz val="10"/>
        <rFont val="Arial"/>
        <family val="0"/>
        <charset val="1"/>
      </rPr>
      <t xml:space="preserve">FR5 </t>
    </r>
    <r>
      <rPr>
        <b val="true"/>
        <sz val="10"/>
        <rFont val="Noto Sans CJK SC"/>
        <family val="2"/>
      </rPr>
      <t xml:space="preserve">프레임당 노출</t>
    </r>
  </si>
  <si>
    <t xml:space="preserve">과적합 기준 대비</t>
  </si>
  <si>
    <t xml:space="preserve">상태</t>
  </si>
  <si>
    <t xml:space="preserve">B0</t>
  </si>
  <si>
    <t xml:space="preserve">FR5</t>
  </si>
  <si>
    <t xml:space="preserve">사용 중 — 기준선</t>
  </si>
  <si>
    <t xml:space="preserve">FR5 12k</t>
  </si>
  <si>
    <r>
      <rPr>
        <sz val="10"/>
        <rFont val="Noto Sans CJK SC"/>
        <family val="2"/>
      </rPr>
      <t xml:space="preserve">과적합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공간 추종 </t>
    </r>
    <r>
      <rPr>
        <sz val="10"/>
        <rFont val="Arial"/>
        <family val="0"/>
        <charset val="1"/>
      </rPr>
      <t xml:space="preserve">0.35 → 0.1)</t>
    </r>
  </si>
  <si>
    <t xml:space="preserve">C1-12k</t>
  </si>
  <si>
    <r>
      <rPr>
        <sz val="10"/>
        <rFont val="Arial"/>
        <family val="0"/>
        <charset val="1"/>
      </rPr>
      <t xml:space="preserve">FR5 + FR3 </t>
    </r>
    <r>
      <rPr>
        <sz val="10"/>
        <rFont val="Noto Sans CJK SC"/>
        <family val="2"/>
      </rPr>
      <t xml:space="preserve">정합</t>
    </r>
  </si>
  <si>
    <t xml:space="preserve">주 비교 — 학습 중</t>
  </si>
  <si>
    <t xml:space="preserve">C1-6k</t>
  </si>
  <si>
    <r>
      <rPr>
        <sz val="10"/>
        <rFont val="Noto Sans CJK SC"/>
        <family val="2"/>
      </rPr>
      <t xml:space="preserve">보조 — 같은 학습의 </t>
    </r>
    <r>
      <rPr>
        <sz val="10"/>
        <rFont val="Arial"/>
        <family val="0"/>
        <charset val="1"/>
      </rPr>
      <t xml:space="preserve">6000 </t>
    </r>
    <r>
      <rPr>
        <sz val="10"/>
        <rFont val="Noto Sans CJK SC"/>
        <family val="2"/>
      </rPr>
      <t xml:space="preserve">체크포인트</t>
    </r>
  </si>
  <si>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에폭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Noto Sans CJK SC"/>
        <family val="2"/>
      </rPr>
      <t xml:space="preserve">샘플 수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학습 프레임 수</t>
    </r>
    <r>
      <rPr>
        <sz val="9"/>
        <color rgb="FF595959"/>
        <rFont val="Arial"/>
        <family val="0"/>
        <charset val="1"/>
      </rPr>
      <t xml:space="preserve">. FR5 </t>
    </r>
    <r>
      <rPr>
        <sz val="9"/>
        <color rgb="FF595959"/>
        <rFont val="Noto Sans CJK SC"/>
        <family val="2"/>
      </rPr>
      <t xml:space="preserve">프레임당 노출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Noto Sans CJK SC"/>
        <family val="2"/>
      </rPr>
      <t xml:space="preserve">샘플 수 </t>
    </r>
    <r>
      <rPr>
        <sz val="9"/>
        <color rgb="FF595959"/>
        <rFont val="Arial"/>
        <family val="0"/>
        <charset val="1"/>
      </rPr>
      <t xml:space="preserve">× FR5 </t>
    </r>
    <r>
      <rPr>
        <sz val="9"/>
        <color rgb="FF595959"/>
        <rFont val="Noto Sans CJK SC"/>
        <family val="2"/>
      </rPr>
      <t xml:space="preserve">비율 </t>
    </r>
    <r>
      <rPr>
        <sz val="9"/>
        <color rgb="FF595959"/>
        <rFont val="Arial"/>
        <family val="0"/>
        <charset val="1"/>
      </rPr>
      <t xml:space="preserve">÷ FR5 </t>
    </r>
    <r>
      <rPr>
        <sz val="9"/>
        <color rgb="FF595959"/>
        <rFont val="Noto Sans CJK SC"/>
        <family val="2"/>
      </rPr>
      <t xml:space="preserve">프레임 수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프레임을 균등하게 뽑는다고 가정한 값이다 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추론</t>
    </r>
    <r>
      <rPr>
        <sz val="9"/>
        <color rgb="FF595959"/>
        <rFont val="Arial"/>
        <family val="0"/>
        <charset val="1"/>
      </rPr>
      <t xml:space="preserve">].</t>
    </r>
  </si>
  <si>
    <r>
      <rPr>
        <sz val="9"/>
        <color rgb="FF595959"/>
        <rFont val="Arial"/>
        <family val="0"/>
        <charset val="1"/>
      </rPr>
      <t xml:space="preserve">· C1-12k</t>
    </r>
    <r>
      <rPr>
        <sz val="9"/>
        <color rgb="FF595959"/>
        <rFont val="Noto Sans CJK SC"/>
        <family val="2"/>
      </rPr>
      <t xml:space="preserve">는 </t>
    </r>
    <r>
      <rPr>
        <sz val="9"/>
        <color rgb="FF595959"/>
        <rFont val="Arial"/>
        <family val="0"/>
        <charset val="1"/>
      </rPr>
      <t xml:space="preserve">FR5 </t>
    </r>
    <r>
      <rPr>
        <sz val="9"/>
        <color rgb="FF595959"/>
        <rFont val="Noto Sans CJK SC"/>
        <family val="2"/>
      </rPr>
      <t xml:space="preserve">프레임 노출이 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와 거의 같다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그래서 차이를 </t>
    </r>
    <r>
      <rPr>
        <sz val="9"/>
        <color rgb="FF595959"/>
        <rFont val="Arial"/>
        <family val="0"/>
        <charset val="1"/>
      </rPr>
      <t xml:space="preserve">'FR3 </t>
    </r>
    <r>
      <rPr>
        <sz val="9"/>
        <color rgb="FF595959"/>
        <rFont val="Noto Sans CJK SC"/>
        <family val="2"/>
      </rPr>
      <t xml:space="preserve">추가 효과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로 좁힐 수 있다</t>
    </r>
    <r>
      <rPr>
        <sz val="9"/>
        <color rgb="FF595959"/>
        <rFont val="Arial"/>
        <family val="0"/>
        <charset val="1"/>
      </rPr>
      <t xml:space="preserve">. C1-6k</t>
    </r>
    <r>
      <rPr>
        <sz val="9"/>
        <color rgb="FF595959"/>
        <rFont val="Noto Sans CJK SC"/>
        <family val="2"/>
      </rPr>
      <t xml:space="preserve">는 노출이 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의 절반이라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성능이 떨어져도 원인을 가를 수 없다</t>
    </r>
    <r>
      <rPr>
        <sz val="9"/>
        <color rgb="FF595959"/>
        <rFont val="Arial"/>
        <family val="0"/>
        <charset val="1"/>
      </rPr>
      <t xml:space="preserve">.</t>
    </r>
  </si>
  <si>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확인된 것은 </t>
    </r>
    <r>
      <rPr>
        <sz val="9"/>
        <color rgb="FF595959"/>
        <rFont val="Arial"/>
        <family val="0"/>
        <charset val="1"/>
      </rPr>
      <t xml:space="preserve">9.2</t>
    </r>
    <r>
      <rPr>
        <sz val="9"/>
        <color rgb="FF595959"/>
        <rFont val="Noto Sans CJK SC"/>
        <family val="2"/>
      </rPr>
      <t xml:space="preserve">에폭 정상</t>
    </r>
    <r>
      <rPr>
        <sz val="9"/>
        <color rgb="FF595959"/>
        <rFont val="Arial"/>
        <family val="0"/>
        <charset val="1"/>
      </rPr>
      <t xml:space="preserve">, 18.3</t>
    </r>
    <r>
      <rPr>
        <sz val="9"/>
        <color rgb="FF595959"/>
        <rFont val="Noto Sans CJK SC"/>
        <family val="2"/>
      </rPr>
      <t xml:space="preserve">에폭 과적합뿐이다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그 사이 어디서 과적합이 시작되는지는 모른다</t>
    </r>
    <r>
      <rPr>
        <sz val="9"/>
        <color rgb="FF595959"/>
        <rFont val="Arial"/>
        <family val="0"/>
        <charset val="1"/>
      </rPr>
      <t xml:space="preserve">.</t>
    </r>
  </si>
  <si>
    <r>
      <rPr>
        <b val="true"/>
        <sz val="13"/>
        <rFont val="Arial"/>
        <family val="0"/>
        <charset val="1"/>
      </rPr>
      <t xml:space="preserve">--dry </t>
    </r>
    <r>
      <rPr>
        <b val="true"/>
        <sz val="13"/>
        <rFont val="Noto Sans CJK SC"/>
        <family val="2"/>
      </rPr>
      <t xml:space="preserve">공간 추종 확인 — 로봇을 움직이지 않고 과적합 증상을 거른다</t>
    </r>
  </si>
  <si>
    <r>
      <rPr>
        <sz val="9"/>
        <color rgb="FF595959"/>
        <rFont val="Noto Sans CJK SC"/>
        <family val="2"/>
      </rPr>
      <t xml:space="preserve">방법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시작 자세에서 그릇 위치만 바꾼 배치 </t>
    </r>
    <r>
      <rPr>
        <sz val="9"/>
        <color rgb="FF595959"/>
        <rFont val="Arial"/>
        <family val="0"/>
        <charset val="1"/>
      </rPr>
      <t xml:space="preserve">5~6</t>
    </r>
    <r>
      <rPr>
        <sz val="9"/>
        <color rgb="FF595959"/>
        <rFont val="Noto Sans CJK SC"/>
        <family val="2"/>
      </rPr>
      <t xml:space="preserve">개를 놓고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체크포인트마다 </t>
    </r>
    <r>
      <rPr>
        <sz val="9"/>
        <color rgb="FF595959"/>
        <rFont val="Arial"/>
        <family val="0"/>
        <charset val="1"/>
      </rPr>
      <t xml:space="preserve">--dry</t>
    </r>
    <r>
      <rPr>
        <sz val="9"/>
        <color rgb="FF595959"/>
        <rFont val="Noto Sans CJK SC"/>
        <family val="2"/>
      </rPr>
      <t xml:space="preserve">로 첫 청크의 마지막 목표 </t>
    </r>
    <r>
      <rPr>
        <sz val="9"/>
        <color rgb="FF595959"/>
        <rFont val="Arial"/>
        <family val="0"/>
        <charset val="1"/>
      </rPr>
      <t xml:space="preserve">xy</t>
    </r>
    <r>
      <rPr>
        <sz val="9"/>
        <color rgb="FF595959"/>
        <rFont val="Noto Sans CJK SC"/>
        <family val="2"/>
      </rPr>
      <t xml:space="preserve">를 기록한다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좌표는 작업 프레임</t>
    </r>
    <r>
      <rPr>
        <sz val="9"/>
        <color rgb="FF595959"/>
        <rFont val="Arial"/>
        <family val="0"/>
        <charset val="1"/>
      </rPr>
      <t xml:space="preserve">(m). </t>
    </r>
    <r>
      <rPr>
        <sz val="9"/>
        <color rgb="FF595959"/>
        <rFont val="Noto Sans CJK SC"/>
        <family val="2"/>
      </rPr>
      <t xml:space="preserve">노란 칸만 채운다</t>
    </r>
    <r>
      <rPr>
        <sz val="9"/>
        <color rgb="FF595959"/>
        <rFont val="Arial"/>
        <family val="0"/>
        <charset val="1"/>
      </rPr>
      <t xml:space="preserve">.</t>
    </r>
  </si>
  <si>
    <t xml:space="preserve">설정</t>
  </si>
  <si>
    <t xml:space="preserve">설명</t>
  </si>
  <si>
    <r>
      <rPr>
        <sz val="10"/>
        <rFont val="Noto Sans CJK SC"/>
        <family val="2"/>
      </rPr>
      <t xml:space="preserve">대체 기준 </t>
    </r>
    <r>
      <rPr>
        <sz val="10"/>
        <rFont val="Arial"/>
        <family val="0"/>
        <charset val="1"/>
      </rPr>
      <t xml:space="preserve">(B0 </t>
    </r>
    <r>
      <rPr>
        <sz val="10"/>
        <rFont val="Noto Sans CJK SC"/>
        <family val="2"/>
      </rPr>
      <t xml:space="preserve">대비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</si>
  <si>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Arial"/>
        <family val="0"/>
        <charset val="1"/>
      </rPr>
      <t xml:space="preserve">C1-12k </t>
    </r>
    <r>
      <rPr>
        <sz val="9"/>
        <color rgb="FF595959"/>
        <rFont val="Noto Sans CJK SC"/>
        <family val="2"/>
      </rPr>
      <t xml:space="preserve">평균 추종 기울기가 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의 이 비율 미만이면 </t>
    </r>
    <r>
      <rPr>
        <sz val="9"/>
        <color rgb="FF595959"/>
        <rFont val="Arial"/>
        <family val="0"/>
        <charset val="1"/>
      </rPr>
      <t xml:space="preserve">C1-6k</t>
    </r>
    <r>
      <rPr>
        <sz val="9"/>
        <color rgb="FF595959"/>
        <rFont val="Noto Sans CJK SC"/>
        <family val="2"/>
      </rPr>
      <t xml:space="preserve">로 대체 </t>
    </r>
    <r>
      <rPr>
        <sz val="9"/>
        <color rgb="FF595959"/>
        <rFont val="Arial"/>
        <family val="0"/>
        <charset val="1"/>
      </rPr>
      <t xml:space="preserve">(#28</t>
    </r>
    <r>
      <rPr>
        <sz val="9"/>
        <color rgb="FF595959"/>
        <rFont val="Noto Sans CJK SC"/>
        <family val="2"/>
      </rPr>
      <t xml:space="preserve">에서 평가 전 고정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</si>
  <si>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참고</t>
    </r>
    <r>
      <rPr>
        <sz val="10"/>
        <rFont val="Arial"/>
        <family val="0"/>
        <charset val="1"/>
      </rPr>
      <t xml:space="preserve">: B0 </t>
    </r>
    <r>
      <rPr>
        <sz val="10"/>
        <rFont val="Noto Sans CJK SC"/>
        <family val="2"/>
      </rPr>
      <t xml:space="preserve">실물 추종 기울기</t>
    </r>
  </si>
  <si>
    <r>
      <rPr>
        <sz val="9"/>
        <color rgb="FF595959"/>
        <rFont val="Arial"/>
        <family val="0"/>
        <charset val="1"/>
      </rPr>
      <t xml:space="preserve">x / y. </t>
    </r>
    <r>
      <rPr>
        <sz val="9"/>
        <color rgb="FF595959"/>
        <rFont val="Noto Sans CJK SC"/>
        <family val="2"/>
      </rPr>
      <t xml:space="preserve">실제 롤아웃 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판 기준</t>
    </r>
    <r>
      <rPr>
        <sz val="9"/>
        <color rgb="FF595959"/>
        <rFont val="Arial"/>
        <family val="0"/>
        <charset val="1"/>
      </rPr>
      <t xml:space="preserve">(RESULTS 6.2). dry </t>
    </r>
    <r>
      <rPr>
        <sz val="9"/>
        <color rgb="FF595959"/>
        <rFont val="Noto Sans CJK SC"/>
        <family val="2"/>
      </rPr>
      <t xml:space="preserve">첫 청크 값과는 기준이 달라 직접 비교하지 않는다</t>
    </r>
  </si>
  <si>
    <t xml:space="preserve">배치</t>
  </si>
  <si>
    <r>
      <rPr>
        <b val="true"/>
        <sz val="10"/>
        <rFont val="Noto Sans CJK SC"/>
        <family val="2"/>
      </rPr>
      <t xml:space="preserve">그릇 </t>
    </r>
    <r>
      <rPr>
        <b val="true"/>
        <sz val="10"/>
        <rFont val="Arial"/>
        <family val="0"/>
        <charset val="1"/>
      </rPr>
      <t xml:space="preserve">x</t>
    </r>
  </si>
  <si>
    <r>
      <rPr>
        <b val="true"/>
        <sz val="10"/>
        <rFont val="Noto Sans CJK SC"/>
        <family val="2"/>
      </rPr>
      <t xml:space="preserve">그릇 </t>
    </r>
    <r>
      <rPr>
        <b val="true"/>
        <sz val="10"/>
        <rFont val="Arial"/>
        <family val="0"/>
        <charset val="1"/>
      </rPr>
      <t xml:space="preserve">y</t>
    </r>
  </si>
  <si>
    <r>
      <rPr>
        <b val="true"/>
        <sz val="10"/>
        <rFont val="Arial"/>
        <family val="0"/>
        <charset val="1"/>
      </rPr>
      <t xml:space="preserve">B0 </t>
    </r>
    <r>
      <rPr>
        <b val="true"/>
        <sz val="10"/>
        <rFont val="Noto Sans CJK SC"/>
        <family val="2"/>
      </rPr>
      <t xml:space="preserve">목표 </t>
    </r>
    <r>
      <rPr>
        <b val="true"/>
        <sz val="10"/>
        <rFont val="Arial"/>
        <family val="0"/>
        <charset val="1"/>
      </rPr>
      <t xml:space="preserve">x</t>
    </r>
  </si>
  <si>
    <r>
      <rPr>
        <b val="true"/>
        <sz val="10"/>
        <rFont val="Arial"/>
        <family val="0"/>
        <charset val="1"/>
      </rPr>
      <t xml:space="preserve">B0 </t>
    </r>
    <r>
      <rPr>
        <b val="true"/>
        <sz val="10"/>
        <rFont val="Noto Sans CJK SC"/>
        <family val="2"/>
      </rPr>
      <t xml:space="preserve">목표 </t>
    </r>
    <r>
      <rPr>
        <b val="true"/>
        <sz val="10"/>
        <rFont val="Arial"/>
        <family val="0"/>
        <charset val="1"/>
      </rPr>
      <t xml:space="preserve">y</t>
    </r>
  </si>
  <si>
    <r>
      <rPr>
        <b val="true"/>
        <sz val="10"/>
        <rFont val="Arial"/>
        <family val="0"/>
        <charset val="1"/>
      </rPr>
      <t xml:space="preserve">C1-6k </t>
    </r>
    <r>
      <rPr>
        <b val="true"/>
        <sz val="10"/>
        <rFont val="Noto Sans CJK SC"/>
        <family val="2"/>
      </rPr>
      <t xml:space="preserve">목표 </t>
    </r>
    <r>
      <rPr>
        <b val="true"/>
        <sz val="10"/>
        <rFont val="Arial"/>
        <family val="0"/>
        <charset val="1"/>
      </rPr>
      <t xml:space="preserve">x</t>
    </r>
  </si>
  <si>
    <r>
      <rPr>
        <b val="true"/>
        <sz val="10"/>
        <rFont val="Arial"/>
        <family val="0"/>
        <charset val="1"/>
      </rPr>
      <t xml:space="preserve">C1-6k </t>
    </r>
    <r>
      <rPr>
        <b val="true"/>
        <sz val="10"/>
        <rFont val="Noto Sans CJK SC"/>
        <family val="2"/>
      </rPr>
      <t xml:space="preserve">목표 </t>
    </r>
    <r>
      <rPr>
        <b val="true"/>
        <sz val="10"/>
        <rFont val="Arial"/>
        <family val="0"/>
        <charset val="1"/>
      </rPr>
      <t xml:space="preserve">y</t>
    </r>
  </si>
  <si>
    <r>
      <rPr>
        <b val="true"/>
        <sz val="10"/>
        <rFont val="Arial"/>
        <family val="0"/>
        <charset val="1"/>
      </rPr>
      <t xml:space="preserve">C1-12k </t>
    </r>
    <r>
      <rPr>
        <b val="true"/>
        <sz val="10"/>
        <rFont val="Noto Sans CJK SC"/>
        <family val="2"/>
      </rPr>
      <t xml:space="preserve">목표 </t>
    </r>
    <r>
      <rPr>
        <b val="true"/>
        <sz val="10"/>
        <rFont val="Arial"/>
        <family val="0"/>
        <charset val="1"/>
      </rPr>
      <t xml:space="preserve">x</t>
    </r>
  </si>
  <si>
    <r>
      <rPr>
        <b val="true"/>
        <sz val="10"/>
        <rFont val="Arial"/>
        <family val="0"/>
        <charset val="1"/>
      </rPr>
      <t xml:space="preserve">C1-12k </t>
    </r>
    <r>
      <rPr>
        <b val="true"/>
        <sz val="10"/>
        <rFont val="Noto Sans CJK SC"/>
        <family val="2"/>
      </rPr>
      <t xml:space="preserve">목표 </t>
    </r>
    <r>
      <rPr>
        <b val="true"/>
        <sz val="10"/>
        <rFont val="Arial"/>
        <family val="0"/>
        <charset val="1"/>
      </rPr>
      <t xml:space="preserve">y</t>
    </r>
  </si>
  <si>
    <t xml:space="preserve">메모</t>
  </si>
  <si>
    <r>
      <rPr>
        <i val="true"/>
        <sz val="10"/>
        <color rgb="FF808080"/>
        <rFont val="Noto Sans CJK SC"/>
        <family val="2"/>
      </rPr>
      <t xml:space="preserve">예시 </t>
    </r>
    <r>
      <rPr>
        <i val="true"/>
        <sz val="10"/>
        <color rgb="FF808080"/>
        <rFont val="Arial"/>
        <family val="0"/>
        <charset val="1"/>
      </rPr>
      <t xml:space="preserve">(</t>
    </r>
    <r>
      <rPr>
        <i val="true"/>
        <sz val="10"/>
        <color rgb="FF808080"/>
        <rFont val="Noto Sans CJK SC"/>
        <family val="2"/>
      </rPr>
      <t xml:space="preserve">계산 제외</t>
    </r>
    <r>
      <rPr>
        <i val="true"/>
        <sz val="10"/>
        <color rgb="FF808080"/>
        <rFont val="Arial"/>
        <family val="0"/>
        <charset val="1"/>
      </rPr>
      <t xml:space="preserve">)</t>
    </r>
  </si>
  <si>
    <t xml:space="preserve">형식 예시 — 아래 칸에 같은 형식으로 입력</t>
  </si>
  <si>
    <r>
      <rPr>
        <sz val="10"/>
        <rFont val="Noto Sans CJK SC"/>
        <family val="2"/>
      </rPr>
      <t xml:space="preserve">배치 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</si>
  <si>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배치 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</si>
  <si>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배치 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</si>
  <si>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배치 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</si>
  <si>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배치 </t>
    </r>
    <r>
      <rPr>
        <sz val="10"/>
        <rFont val="Arial"/>
        <family val="0"/>
        <charset val="1"/>
      </rPr>
      <t xml:space="preserve">5</t>
    </r>
  </si>
  <si>
    <r>
      <rPr>
        <sz val="10"/>
        <rFont val="Noto Sans CJK SC"/>
        <family val="2"/>
      </rPr>
      <t xml:space="preserve">배치 </t>
    </r>
    <r>
      <rPr>
        <sz val="10"/>
        <rFont val="Arial"/>
        <family val="0"/>
        <charset val="1"/>
      </rPr>
      <t xml:space="preserve">6</t>
    </r>
  </si>
  <si>
    <t xml:space="preserve">체크포인트</t>
  </si>
  <si>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기울기</t>
    </r>
  </si>
  <si>
    <r>
      <rPr>
        <b val="true"/>
        <sz val="10"/>
        <rFont val="Arial"/>
        <family val="0"/>
        <charset val="1"/>
      </rPr>
      <t xml:space="preserve">y </t>
    </r>
    <r>
      <rPr>
        <b val="true"/>
        <sz val="10"/>
        <rFont val="Noto Sans CJK SC"/>
        <family val="2"/>
      </rPr>
      <t xml:space="preserve">기울기</t>
    </r>
  </si>
  <si>
    <t xml:space="preserve">평균 기울기</t>
  </si>
  <si>
    <r>
      <rPr>
        <b val="true"/>
        <sz val="10"/>
        <rFont val="Noto Sans CJK SC"/>
        <family val="2"/>
      </rPr>
      <t xml:space="preserve">입력 쌍 </t>
    </r>
    <r>
      <rPr>
        <b val="true"/>
        <sz val="10"/>
        <rFont val="Arial"/>
        <family val="0"/>
        <charset val="1"/>
      </rPr>
      <t xml:space="preserve">(x / y)</t>
    </r>
  </si>
  <si>
    <t xml:space="preserve">판정</t>
  </si>
  <si>
    <r>
      <rPr>
        <b val="true"/>
        <sz val="10"/>
        <rFont val="Arial"/>
        <family val="0"/>
        <charset val="1"/>
      </rPr>
      <t xml:space="preserve">C1-12k / B0 </t>
    </r>
    <r>
      <rPr>
        <b val="true"/>
        <sz val="10"/>
        <rFont val="Noto Sans CJK SC"/>
        <family val="2"/>
      </rPr>
      <t xml:space="preserve">평균 기울기</t>
    </r>
  </si>
  <si>
    <r>
      <rPr>
        <sz val="9"/>
        <color rgb="FF595959"/>
        <rFont val="Arial"/>
        <family val="0"/>
        <charset val="1"/>
      </rPr>
      <t xml:space="preserve">B0 </t>
    </r>
    <r>
      <rPr>
        <sz val="9"/>
        <color rgb="FF595959"/>
        <rFont val="Noto Sans CJK SC"/>
        <family val="2"/>
      </rPr>
      <t xml:space="preserve">대비 </t>
    </r>
    <r>
      <rPr>
        <sz val="9"/>
        <color rgb="FF595959"/>
        <rFont val="Arial"/>
        <family val="0"/>
        <charset val="1"/>
      </rPr>
      <t xml:space="preserve">C1-12k</t>
    </r>
    <r>
      <rPr>
        <sz val="9"/>
        <color rgb="FF595959"/>
        <rFont val="Noto Sans CJK SC"/>
        <family val="2"/>
      </rPr>
      <t xml:space="preserve">의 추종 정도</t>
    </r>
  </si>
  <si>
    <r>
      <rPr>
        <b val="true"/>
        <sz val="10"/>
        <rFont val="Noto Sans CJK SC"/>
        <family val="2"/>
      </rPr>
      <t xml:space="preserve">평가에 쓸 </t>
    </r>
    <r>
      <rPr>
        <b val="true"/>
        <sz val="10"/>
        <rFont val="Arial"/>
        <family val="0"/>
        <charset val="1"/>
      </rPr>
      <t xml:space="preserve">C1 </t>
    </r>
    <r>
      <rPr>
        <b val="true"/>
        <sz val="10"/>
        <rFont val="Noto Sans CJK SC"/>
        <family val="2"/>
      </rPr>
      <t xml:space="preserve">체크포인트</t>
    </r>
  </si>
  <si>
    <t xml:space="preserve">이 규칙 외에는 체크포인트를 바꾸지 않는다</t>
  </si>
  <si>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목표 </t>
    </r>
    <r>
      <rPr>
        <sz val="9"/>
        <color rgb="FF595959"/>
        <rFont val="Arial"/>
        <family val="0"/>
        <charset val="1"/>
      </rPr>
      <t xml:space="preserve">xy</t>
    </r>
    <r>
      <rPr>
        <sz val="9"/>
        <color rgb="FF595959"/>
        <rFont val="Noto Sans CJK SC"/>
        <family val="2"/>
      </rPr>
      <t xml:space="preserve">는 그릇 중심이 아니라 테두리 쪽 파지점이라 절댓값은 어긋나도 된다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보는 것은 그릇을 옮겼을 때 목표가 따라 움직이는 기울기다</t>
    </r>
    <r>
      <rPr>
        <sz val="9"/>
        <color rgb="FF595959"/>
        <rFont val="Arial"/>
        <family val="0"/>
        <charset val="1"/>
      </rPr>
      <t xml:space="preserve">.</t>
    </r>
  </si>
  <si>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기울기는 입력 쌍이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개 이상일 때만 계산한다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한 행은 그릇 좌표와 목표 좌표를 모두 채워야 한다</t>
    </r>
    <r>
      <rPr>
        <sz val="9"/>
        <color rgb="FF595959"/>
        <rFont val="Arial"/>
        <family val="0"/>
        <charset val="1"/>
      </rPr>
      <t xml:space="preserve">.</t>
    </r>
  </si>
  <si>
    <t xml:space="preserve">남은 위험과 사전 고정 규칙</t>
  </si>
  <si>
    <t xml:space="preserve">항목</t>
  </si>
  <si>
    <t xml:space="preserve">내용</t>
  </si>
  <si>
    <t xml:space="preserve">근거</t>
  </si>
  <si>
    <t xml:space="preserve">대응</t>
  </si>
  <si>
    <t xml:space="preserve">과적합 시작점 미지</t>
  </si>
  <si>
    <r>
      <rPr>
        <sz val="10"/>
        <rFont val="Arial"/>
        <family val="0"/>
        <charset val="1"/>
      </rPr>
      <t xml:space="preserve">9.2</t>
    </r>
    <r>
      <rPr>
        <sz val="10"/>
        <rFont val="Noto Sans CJK SC"/>
        <family val="2"/>
      </rPr>
      <t xml:space="preserve">에폭 정상</t>
    </r>
    <r>
      <rPr>
        <sz val="10"/>
        <rFont val="Arial"/>
        <family val="0"/>
        <charset val="1"/>
      </rPr>
      <t xml:space="preserve">, 18.3</t>
    </r>
    <r>
      <rPr>
        <sz val="10"/>
        <rFont val="Noto Sans CJK SC"/>
        <family val="2"/>
      </rPr>
      <t xml:space="preserve">에폭 과적합만 확인</t>
    </r>
    <r>
      <rPr>
        <sz val="10"/>
        <rFont val="Arial"/>
        <family val="0"/>
        <charset val="1"/>
      </rPr>
      <t xml:space="preserve">. C1-12k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8.8</t>
    </r>
    <r>
      <rPr>
        <sz val="10"/>
        <rFont val="Noto Sans CJK SC"/>
        <family val="2"/>
      </rPr>
      <t xml:space="preserve">에폭은 안전 쪽이지만 데이터 구성이 바뀌었다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</si>
  <si>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추론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</si>
  <si>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'dry </t>
    </r>
    <r>
      <rPr>
        <sz val="10"/>
        <rFont val="Noto Sans CJK SC"/>
        <family val="2"/>
      </rPr>
      <t xml:space="preserve">추종 확인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시트로 로봇 평가 전에 점검</t>
    </r>
  </si>
  <si>
    <t xml:space="preserve">미확인</t>
  </si>
  <si>
    <t xml:space="preserve">학습률 곡선 차이</t>
  </si>
  <si>
    <r>
      <rPr>
        <sz val="10"/>
        <rFont val="Arial"/>
        <family val="0"/>
        <charset val="1"/>
      </rPr>
      <t xml:space="preserve">12,000</t>
    </r>
    <r>
      <rPr>
        <sz val="10"/>
        <rFont val="Noto Sans CJK SC"/>
        <family val="2"/>
      </rPr>
      <t xml:space="preserve">스텝 </t>
    </r>
    <r>
      <rPr>
        <sz val="10"/>
        <rFont val="Arial"/>
        <family val="0"/>
        <charset val="1"/>
      </rPr>
      <t xml:space="preserve">cosine </t>
    </r>
    <r>
      <rPr>
        <sz val="10"/>
        <rFont val="Noto Sans CJK SC"/>
        <family val="2"/>
      </rPr>
      <t xml:space="preserve">스케줄이라 </t>
    </r>
    <r>
      <rPr>
        <sz val="10"/>
        <rFont val="Arial"/>
        <family val="0"/>
        <charset val="1"/>
      </rPr>
      <t xml:space="preserve">6,000</t>
    </r>
    <r>
      <rPr>
        <sz val="10"/>
        <rFont val="Noto Sans CJK SC"/>
        <family val="2"/>
      </rPr>
      <t xml:space="preserve">스텝 학습보다 학습률이 천천히 줄어든다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</si>
  <si>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추론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영향 작음</t>
    </r>
  </si>
  <si>
    <t xml:space="preserve">기록만 남긴다</t>
  </si>
  <si>
    <t xml:space="preserve">-</t>
  </si>
  <si>
    <r>
      <rPr>
        <b val="true"/>
        <sz val="10"/>
        <rFont val="Arial"/>
        <family val="0"/>
        <charset val="1"/>
      </rPr>
      <t xml:space="preserve">6,000</t>
    </r>
    <r>
      <rPr>
        <b val="true"/>
        <sz val="10"/>
        <rFont val="Noto Sans CJK SC"/>
        <family val="2"/>
      </rPr>
      <t xml:space="preserve">스텝 비교의 교란</t>
    </r>
  </si>
  <si>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6,000</t>
    </r>
    <r>
      <rPr>
        <sz val="10"/>
        <rFont val="Noto Sans CJK SC"/>
        <family val="2"/>
      </rPr>
      <t xml:space="preserve">스텝이면 합친 데이터는 </t>
    </r>
    <r>
      <rPr>
        <sz val="10"/>
        <rFont val="Arial"/>
        <family val="0"/>
        <charset val="1"/>
      </rPr>
      <t xml:space="preserve">4.4</t>
    </r>
    <r>
      <rPr>
        <sz val="10"/>
        <rFont val="Noto Sans CJK SC"/>
        <family val="2"/>
      </rPr>
      <t xml:space="preserve">에폭이고 </t>
    </r>
    <r>
      <rPr>
        <sz val="10"/>
        <rFont val="Arial"/>
        <family val="0"/>
        <charset val="1"/>
      </rPr>
      <t xml:space="preserve">FR5 </t>
    </r>
    <r>
      <rPr>
        <sz val="10"/>
        <rFont val="Noto Sans CJK SC"/>
        <family val="2"/>
      </rPr>
      <t xml:space="preserve">노출이 </t>
    </r>
    <r>
      <rPr>
        <sz val="10"/>
        <rFont val="Arial"/>
        <family val="0"/>
        <charset val="1"/>
      </rPr>
      <t xml:space="preserve">B0</t>
    </r>
    <r>
      <rPr>
        <sz val="10"/>
        <rFont val="Noto Sans CJK SC"/>
        <family val="2"/>
      </rPr>
      <t xml:space="preserve">의 절반이다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성능이 떨어져도 </t>
    </r>
    <r>
      <rPr>
        <sz val="10"/>
        <rFont val="Arial"/>
        <family val="0"/>
        <charset val="1"/>
      </rPr>
      <t xml:space="preserve">FR3 </t>
    </r>
    <r>
      <rPr>
        <sz val="10"/>
        <rFont val="Noto Sans CJK SC"/>
        <family val="2"/>
      </rPr>
      <t xml:space="preserve">탓인지 학습량 부족인지 가를 수 없다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</si>
  <si>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계산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</si>
  <si>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주 비교는 </t>
    </r>
    <r>
      <rPr>
        <sz val="10"/>
        <rFont val="Arial"/>
        <family val="0"/>
        <charset val="1"/>
      </rPr>
      <t xml:space="preserve">C1-12k</t>
    </r>
  </si>
  <si>
    <t xml:space="preserve">반영됨</t>
  </si>
  <si>
    <t xml:space="preserve">체크포인트 선택 규칙</t>
  </si>
  <si>
    <r>
      <rPr>
        <sz val="10"/>
        <rFont val="Noto Sans CJK SC"/>
        <family val="2"/>
      </rPr>
      <t xml:space="preserve">주 비교 </t>
    </r>
    <r>
      <rPr>
        <sz val="10"/>
        <rFont val="Arial"/>
        <family val="0"/>
        <charset val="1"/>
      </rPr>
      <t xml:space="preserve">C1-12k. --dry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C1-12k </t>
    </r>
    <r>
      <rPr>
        <sz val="10"/>
        <rFont val="Noto Sans CJK SC"/>
        <family val="2"/>
      </rPr>
      <t xml:space="preserve">추종 기울기가 </t>
    </r>
    <r>
      <rPr>
        <sz val="10"/>
        <rFont val="Arial"/>
        <family val="0"/>
        <charset val="1"/>
      </rPr>
      <t xml:space="preserve">B0</t>
    </r>
    <r>
      <rPr>
        <sz val="10"/>
        <rFont val="Noto Sans CJK SC"/>
        <family val="2"/>
      </rPr>
      <t xml:space="preserve">의 절반 미만이면 </t>
    </r>
    <r>
      <rPr>
        <sz val="10"/>
        <rFont val="Arial"/>
        <family val="0"/>
        <charset val="1"/>
      </rPr>
      <t xml:space="preserve">C1-6k</t>
    </r>
    <r>
      <rPr>
        <sz val="10"/>
        <rFont val="Noto Sans CJK SC"/>
        <family val="2"/>
      </rPr>
      <t xml:space="preserve">로 대체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외에는 바꾸지 않는다</t>
    </r>
    <r>
      <rPr>
        <sz val="10"/>
        <rFont val="Arial"/>
        <family val="0"/>
        <charset val="1"/>
      </rPr>
      <t xml:space="preserve">.</t>
    </r>
  </si>
  <si>
    <t xml:space="preserve">#28</t>
  </si>
  <si>
    <t xml:space="preserve">평가 전 고정 — 평가 결과를 보고 고르지 않는다</t>
  </si>
  <si>
    <t xml:space="preserve">고정됨</t>
  </si>
  <si>
    <t xml:space="preserve">작업 상자 패치</t>
  </si>
  <si>
    <r>
      <rPr>
        <sz val="10"/>
        <rFont val="Noto Sans CJK SC"/>
        <family val="2"/>
      </rPr>
      <t xml:space="preserve">정책 목표가 </t>
    </r>
    <r>
      <rPr>
        <sz val="10"/>
        <rFont val="Arial"/>
        <family val="0"/>
        <charset val="1"/>
      </rPr>
      <t xml:space="preserve">x 0.37~0.82, y −0.08~0.44, z ≤ 0.39(</t>
    </r>
    <r>
      <rPr>
        <sz val="10"/>
        <rFont val="Noto Sans CJK SC"/>
        <family val="2"/>
      </rPr>
      <t xml:space="preserve">작업 프레임</t>
    </r>
    <r>
      <rPr>
        <sz val="10"/>
        <rFont val="Arial"/>
        <family val="0"/>
        <charset val="1"/>
      </rPr>
      <t xml:space="preserve">, m)</t>
    </r>
    <r>
      <rPr>
        <sz val="10"/>
        <rFont val="Noto Sans CJK SC"/>
        <family val="2"/>
      </rPr>
      <t xml:space="preserve">를 벗어나면 청크를 끊는다</t>
    </r>
    <r>
      <rPr>
        <sz val="10"/>
        <rFont val="Arial"/>
        <family val="0"/>
        <charset val="1"/>
      </rPr>
      <t xml:space="preserve">. B0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C1</t>
    </r>
    <r>
      <rPr>
        <sz val="10"/>
        <rFont val="Noto Sans CJK SC"/>
        <family val="2"/>
      </rPr>
      <t xml:space="preserve">에 똑같이 적용된다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</si>
  <si>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fr5_rollout.py </t>
    </r>
    <r>
      <rPr>
        <sz val="10"/>
        <rFont val="Noto Sans CJK SC"/>
        <family val="2"/>
      </rPr>
      <t xml:space="preserve">패치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백업 </t>
    </r>
    <r>
      <rPr>
        <sz val="10"/>
        <rFont val="Arial"/>
        <family val="0"/>
        <charset val="1"/>
      </rPr>
      <t xml:space="preserve">fr5_rollout.py.bak_20261003_190202 [</t>
    </r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</si>
  <si>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저장소 </t>
    </r>
    <r>
      <rPr>
        <sz val="10"/>
        <rFont val="Arial"/>
        <family val="0"/>
        <charset val="1"/>
      </rPr>
      <t xml:space="preserve">tools/fr5_rollout.py</t>
    </r>
    <r>
      <rPr>
        <sz val="10"/>
        <rFont val="Noto Sans CJK SC"/>
        <family val="2"/>
      </rPr>
      <t xml:space="preserve">에도 반영</t>
    </r>
  </si>
  <si>
    <t xml:space="preserve">완료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</si>
</sst>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"/>
    <numFmt numFmtId="167" formatCode="0.0%"/>
    <numFmt numFmtId="168" formatCode="0"/>
    <numFmt numFmtId="169" formatCode="0%"/>
    <numFmt numFmtId="170" formatCode="0.00"/>
    <numFmt numFmtId="171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Noto Sans CJK SC"/>
      <family val="2"/>
    </font>
    <font>
      <i val="true"/>
      <sz val="10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4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34"/>
  </cols>
  <sheetData>
    <row r="1" customFormat="false" ht="20.1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/>
    </row>
    <row r="4" customFormat="false" ht="15" hidden="false" customHeight="false" outlineLevel="0" collapsed="false">
      <c r="A4" s="5" t="s">
        <v>5</v>
      </c>
      <c r="B4" s="6" t="n">
        <v>10482</v>
      </c>
      <c r="C4" s="7" t="s">
        <v>6</v>
      </c>
      <c r="D4" s="7"/>
      <c r="E4" s="7"/>
      <c r="F4" s="7"/>
      <c r="G4" s="7"/>
      <c r="H4" s="7"/>
      <c r="I4" s="7"/>
      <c r="J4" s="7"/>
      <c r="K4" s="7"/>
    </row>
    <row r="5" customFormat="false" ht="15" hidden="false" customHeight="false" outlineLevel="0" collapsed="false">
      <c r="A5" s="5" t="s">
        <v>7</v>
      </c>
      <c r="B5" s="6" t="n">
        <v>11381</v>
      </c>
      <c r="C5" s="7" t="s">
        <v>8</v>
      </c>
      <c r="D5" s="7"/>
      <c r="E5" s="7"/>
      <c r="F5" s="7"/>
      <c r="G5" s="7"/>
      <c r="H5" s="7"/>
      <c r="I5" s="7"/>
      <c r="J5" s="7"/>
      <c r="K5" s="7"/>
    </row>
    <row r="6" customFormat="false" ht="15" hidden="false" customHeight="false" outlineLevel="0" collapsed="false">
      <c r="A6" s="8" t="s">
        <v>9</v>
      </c>
      <c r="B6" s="9" t="n">
        <f aca="false">B4+B5</f>
        <v>21863</v>
      </c>
      <c r="C6" s="7" t="s">
        <v>10</v>
      </c>
      <c r="D6" s="7"/>
      <c r="E6" s="7"/>
      <c r="F6" s="7"/>
      <c r="G6" s="7"/>
      <c r="H6" s="7"/>
      <c r="I6" s="7"/>
      <c r="J6" s="7"/>
      <c r="K6" s="7"/>
    </row>
    <row r="7" customFormat="false" ht="15" hidden="false" customHeight="false" outlineLevel="0" collapsed="false">
      <c r="A7" s="5" t="s">
        <v>11</v>
      </c>
      <c r="B7" s="6" t="n">
        <v>16</v>
      </c>
      <c r="C7" s="7" t="s">
        <v>12</v>
      </c>
      <c r="D7" s="7"/>
      <c r="E7" s="7"/>
      <c r="F7" s="7"/>
      <c r="G7" s="7"/>
      <c r="H7" s="7"/>
      <c r="I7" s="7"/>
      <c r="J7" s="7"/>
      <c r="K7" s="7"/>
    </row>
    <row r="8" customFormat="false" ht="15" hidden="false" customHeight="false" outlineLevel="0" collapsed="false">
      <c r="A8" s="8" t="s">
        <v>13</v>
      </c>
      <c r="B8" s="10" t="n">
        <f aca="false">H12</f>
        <v>18.3171150543789</v>
      </c>
      <c r="C8" s="7" t="s">
        <v>14</v>
      </c>
      <c r="D8" s="7"/>
      <c r="E8" s="7"/>
      <c r="F8" s="7"/>
      <c r="G8" s="7"/>
      <c r="H8" s="7"/>
      <c r="I8" s="7"/>
      <c r="J8" s="7"/>
      <c r="K8" s="7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customFormat="false" ht="15" hidden="false" customHeight="false" outlineLevel="0" collapsed="false">
      <c r="A10" s="4" t="s">
        <v>15</v>
      </c>
      <c r="B10" s="4" t="s">
        <v>16</v>
      </c>
      <c r="C10" s="4" t="s">
        <v>17</v>
      </c>
      <c r="D10" s="11" t="s">
        <v>18</v>
      </c>
      <c r="E10" s="4" t="s">
        <v>19</v>
      </c>
      <c r="F10" s="11" t="s">
        <v>11</v>
      </c>
      <c r="G10" s="4" t="s">
        <v>20</v>
      </c>
      <c r="H10" s="4" t="s">
        <v>21</v>
      </c>
      <c r="I10" s="11" t="s">
        <v>22</v>
      </c>
      <c r="J10" s="4" t="s">
        <v>23</v>
      </c>
      <c r="K10" s="4" t="s">
        <v>24</v>
      </c>
    </row>
    <row r="11" customFormat="false" ht="15" hidden="false" customHeight="false" outlineLevel="0" collapsed="false">
      <c r="A11" s="12" t="s">
        <v>25</v>
      </c>
      <c r="B11" s="5" t="s">
        <v>26</v>
      </c>
      <c r="C11" s="9" t="n">
        <f aca="false">$B$4</f>
        <v>10482</v>
      </c>
      <c r="D11" s="13" t="n">
        <f aca="false">$B$4/C11</f>
        <v>1</v>
      </c>
      <c r="E11" s="6" t="n">
        <v>6000</v>
      </c>
      <c r="F11" s="14" t="n">
        <f aca="false">$B$7</f>
        <v>16</v>
      </c>
      <c r="G11" s="9" t="n">
        <f aca="false">E11*F11</f>
        <v>96000</v>
      </c>
      <c r="H11" s="10" t="n">
        <f aca="false">G11/C11</f>
        <v>9.15855752718947</v>
      </c>
      <c r="I11" s="10" t="n">
        <f aca="false">G11*D11/$B$4</f>
        <v>9.15855752718947</v>
      </c>
      <c r="J11" s="15" t="n">
        <f aca="false">H11/$B$8</f>
        <v>0.5</v>
      </c>
      <c r="K11" s="8" t="s">
        <v>27</v>
      </c>
    </row>
    <row r="12" customFormat="false" ht="15" hidden="false" customHeight="false" outlineLevel="0" collapsed="false">
      <c r="A12" s="12" t="s">
        <v>28</v>
      </c>
      <c r="B12" s="5" t="s">
        <v>26</v>
      </c>
      <c r="C12" s="9" t="n">
        <f aca="false">$B$4</f>
        <v>10482</v>
      </c>
      <c r="D12" s="13" t="n">
        <f aca="false">$B$4/C12</f>
        <v>1</v>
      </c>
      <c r="E12" s="6" t="n">
        <v>12000</v>
      </c>
      <c r="F12" s="14" t="n">
        <f aca="false">$B$7</f>
        <v>16</v>
      </c>
      <c r="G12" s="9" t="n">
        <f aca="false">E12*F12</f>
        <v>192000</v>
      </c>
      <c r="H12" s="10" t="n">
        <f aca="false">G12/C12</f>
        <v>18.3171150543789</v>
      </c>
      <c r="I12" s="10" t="n">
        <f aca="false">G12*D12/$B$4</f>
        <v>18.3171150543789</v>
      </c>
      <c r="J12" s="15" t="n">
        <f aca="false">H12/$B$8</f>
        <v>1</v>
      </c>
      <c r="K12" s="8" t="s">
        <v>29</v>
      </c>
    </row>
    <row r="13" customFormat="false" ht="15" hidden="false" customHeight="false" outlineLevel="0" collapsed="false">
      <c r="A13" s="16" t="s">
        <v>30</v>
      </c>
      <c r="B13" s="5" t="s">
        <v>31</v>
      </c>
      <c r="C13" s="9" t="n">
        <f aca="false">$B$6</f>
        <v>21863</v>
      </c>
      <c r="D13" s="13" t="n">
        <f aca="false">$B$4/C13</f>
        <v>0.479440150025157</v>
      </c>
      <c r="E13" s="6" t="n">
        <v>12000</v>
      </c>
      <c r="F13" s="14" t="n">
        <f aca="false">$B$7</f>
        <v>16</v>
      </c>
      <c r="G13" s="9" t="n">
        <f aca="false">E13*F13</f>
        <v>192000</v>
      </c>
      <c r="H13" s="10" t="n">
        <f aca="false">G13/C13</f>
        <v>8.78196038969949</v>
      </c>
      <c r="I13" s="10" t="n">
        <f aca="false">G13*D13/$B$4</f>
        <v>8.78196038969949</v>
      </c>
      <c r="J13" s="15" t="n">
        <f aca="false">H13/$B$8</f>
        <v>0.479440150025157</v>
      </c>
      <c r="K13" s="8" t="s">
        <v>32</v>
      </c>
    </row>
    <row r="14" customFormat="false" ht="15" hidden="false" customHeight="false" outlineLevel="0" collapsed="false">
      <c r="A14" s="12" t="s">
        <v>33</v>
      </c>
      <c r="B14" s="5" t="s">
        <v>31</v>
      </c>
      <c r="C14" s="9" t="n">
        <f aca="false">$B$6</f>
        <v>21863</v>
      </c>
      <c r="D14" s="13" t="n">
        <f aca="false">$B$4/C14</f>
        <v>0.479440150025157</v>
      </c>
      <c r="E14" s="6" t="n">
        <v>6000</v>
      </c>
      <c r="F14" s="14" t="n">
        <f aca="false">$B$7</f>
        <v>16</v>
      </c>
      <c r="G14" s="9" t="n">
        <f aca="false">E14*F14</f>
        <v>96000</v>
      </c>
      <c r="H14" s="10" t="n">
        <f aca="false">G14/C14</f>
        <v>4.39098019484975</v>
      </c>
      <c r="I14" s="10" t="n">
        <f aca="false">G14*D14/$B$4</f>
        <v>4.39098019484975</v>
      </c>
      <c r="J14" s="15" t="n">
        <f aca="false">H14/$B$8</f>
        <v>0.239720075012578</v>
      </c>
      <c r="K14" s="8" t="s">
        <v>34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5" hidden="false" customHeight="false" outlineLevel="0" collapsed="false">
      <c r="A16" s="17" t="s">
        <v>35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customFormat="false" ht="15" hidden="false" customHeight="false" outlineLevel="0" collapsed="false">
      <c r="A17" s="17" t="s">
        <v>36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17" t="s">
        <v>37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</sheetData>
  <mergeCells count="6">
    <mergeCell ref="C3:K3"/>
    <mergeCell ref="C4:K4"/>
    <mergeCell ref="C5:K5"/>
    <mergeCell ref="C6:K6"/>
    <mergeCell ref="C7:K7"/>
    <mergeCell ref="C8:K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5" min="4" style="0" width="13"/>
    <col collapsed="false" customWidth="true" hidden="false" outlineLevel="0" max="9" min="6" style="0" width="14"/>
    <col collapsed="false" customWidth="true" hidden="false" outlineLevel="0" max="10" min="10" style="0" width="40"/>
  </cols>
  <sheetData>
    <row r="1" customFormat="false" ht="20.1" hidden="false" customHeight="false" outlineLevel="0" collapsed="false">
      <c r="A1" s="18" t="s">
        <v>38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39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4" t="s">
        <v>40</v>
      </c>
      <c r="B4" s="4" t="s">
        <v>3</v>
      </c>
      <c r="C4" s="4"/>
      <c r="D4" s="4" t="s">
        <v>41</v>
      </c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A5" s="8" t="s">
        <v>42</v>
      </c>
      <c r="B5" s="19" t="n">
        <v>0.5</v>
      </c>
      <c r="C5" s="5"/>
      <c r="D5" s="7" t="s">
        <v>43</v>
      </c>
      <c r="E5" s="7"/>
      <c r="F5" s="7"/>
      <c r="G5" s="7"/>
      <c r="H5" s="7"/>
      <c r="I5" s="7"/>
      <c r="J5" s="7"/>
    </row>
    <row r="6" customFormat="false" ht="15" hidden="false" customHeight="false" outlineLevel="0" collapsed="false">
      <c r="A6" s="8" t="s">
        <v>44</v>
      </c>
      <c r="B6" s="20" t="n">
        <v>0.36</v>
      </c>
      <c r="C6" s="20" t="n">
        <v>0.35</v>
      </c>
      <c r="D6" s="7" t="s">
        <v>45</v>
      </c>
      <c r="E6" s="7"/>
      <c r="F6" s="7"/>
      <c r="G6" s="7"/>
      <c r="H6" s="7"/>
      <c r="I6" s="7"/>
      <c r="J6" s="7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15" hidden="false" customHeight="false" outlineLevel="0" collapsed="false">
      <c r="A8" s="4" t="s">
        <v>46</v>
      </c>
      <c r="B8" s="4" t="s">
        <v>47</v>
      </c>
      <c r="C8" s="4" t="s">
        <v>48</v>
      </c>
      <c r="D8" s="11" t="s">
        <v>49</v>
      </c>
      <c r="E8" s="11" t="s">
        <v>50</v>
      </c>
      <c r="F8" s="11" t="s">
        <v>51</v>
      </c>
      <c r="G8" s="11" t="s">
        <v>52</v>
      </c>
      <c r="H8" s="11" t="s">
        <v>53</v>
      </c>
      <c r="I8" s="11" t="s">
        <v>54</v>
      </c>
      <c r="J8" s="4" t="s">
        <v>55</v>
      </c>
    </row>
    <row r="9" customFormat="false" ht="15" hidden="false" customHeight="false" outlineLevel="0" collapsed="false">
      <c r="A9" s="21" t="s">
        <v>56</v>
      </c>
      <c r="B9" s="22" t="n">
        <v>0.62</v>
      </c>
      <c r="C9" s="22" t="n">
        <v>0.28</v>
      </c>
      <c r="D9" s="22" t="n">
        <v>0.611</v>
      </c>
      <c r="E9" s="22" t="n">
        <v>0.214</v>
      </c>
      <c r="F9" s="22" t="n">
        <v>0.613</v>
      </c>
      <c r="G9" s="22" t="n">
        <v>0.218</v>
      </c>
      <c r="H9" s="22" t="n">
        <v>0.615</v>
      </c>
      <c r="I9" s="22" t="n">
        <v>0.221</v>
      </c>
      <c r="J9" s="21" t="s">
        <v>57</v>
      </c>
    </row>
    <row r="10" customFormat="false" ht="15" hidden="false" customHeight="false" outlineLevel="0" collapsed="false">
      <c r="A10" s="8" t="s">
        <v>58</v>
      </c>
      <c r="B10" s="23"/>
      <c r="C10" s="23"/>
      <c r="D10" s="23"/>
      <c r="E10" s="23"/>
      <c r="F10" s="23"/>
      <c r="G10" s="23"/>
      <c r="H10" s="23"/>
      <c r="I10" s="23"/>
      <c r="J10" s="5"/>
    </row>
    <row r="11" customFormat="false" ht="15" hidden="false" customHeight="false" outlineLevel="0" collapsed="false">
      <c r="A11" s="8" t="s">
        <v>59</v>
      </c>
      <c r="B11" s="23"/>
      <c r="C11" s="23"/>
      <c r="D11" s="23"/>
      <c r="E11" s="23"/>
      <c r="F11" s="23"/>
      <c r="G11" s="23"/>
      <c r="H11" s="23"/>
      <c r="I11" s="23"/>
      <c r="J11" s="5"/>
    </row>
    <row r="12" customFormat="false" ht="15" hidden="false" customHeight="false" outlineLevel="0" collapsed="false">
      <c r="A12" s="8" t="s">
        <v>60</v>
      </c>
      <c r="B12" s="23"/>
      <c r="C12" s="23"/>
      <c r="D12" s="23"/>
      <c r="E12" s="23"/>
      <c r="F12" s="23"/>
      <c r="G12" s="23"/>
      <c r="H12" s="23"/>
      <c r="I12" s="23"/>
      <c r="J12" s="5"/>
    </row>
    <row r="13" customFormat="false" ht="15" hidden="false" customHeight="false" outlineLevel="0" collapsed="false">
      <c r="A13" s="8" t="s">
        <v>61</v>
      </c>
      <c r="B13" s="23"/>
      <c r="C13" s="23"/>
      <c r="D13" s="23"/>
      <c r="E13" s="23"/>
      <c r="F13" s="23"/>
      <c r="G13" s="23"/>
      <c r="H13" s="23"/>
      <c r="I13" s="23"/>
      <c r="J13" s="5"/>
    </row>
    <row r="14" customFormat="false" ht="15" hidden="false" customHeight="false" outlineLevel="0" collapsed="false">
      <c r="A14" s="8" t="s">
        <v>62</v>
      </c>
      <c r="B14" s="23"/>
      <c r="C14" s="23"/>
      <c r="D14" s="23"/>
      <c r="E14" s="23"/>
      <c r="F14" s="23"/>
      <c r="G14" s="23"/>
      <c r="H14" s="23"/>
      <c r="I14" s="23"/>
      <c r="J14" s="5"/>
    </row>
    <row r="15" customFormat="false" ht="15" hidden="false" customHeight="false" outlineLevel="0" collapsed="false">
      <c r="A15" s="8" t="s">
        <v>63</v>
      </c>
      <c r="B15" s="23"/>
      <c r="C15" s="23"/>
      <c r="D15" s="23"/>
      <c r="E15" s="23"/>
      <c r="F15" s="23"/>
      <c r="G15" s="23"/>
      <c r="H15" s="23"/>
      <c r="I15" s="23"/>
      <c r="J15" s="5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4" t="s">
        <v>64</v>
      </c>
      <c r="B18" s="11" t="s">
        <v>65</v>
      </c>
      <c r="C18" s="11" t="s">
        <v>66</v>
      </c>
      <c r="D18" s="4" t="s">
        <v>67</v>
      </c>
      <c r="E18" s="4" t="s">
        <v>68</v>
      </c>
      <c r="F18" s="2"/>
      <c r="G18" s="2"/>
      <c r="H18" s="2"/>
      <c r="I18" s="2"/>
      <c r="J18" s="2"/>
    </row>
    <row r="19" customFormat="false" ht="15" hidden="false" customHeight="false" outlineLevel="0" collapsed="false">
      <c r="A19" s="12" t="s">
        <v>25</v>
      </c>
      <c r="B19" s="24" t="str">
        <f aca="false">IFERROR(IF(COUNTIFS($B$10:$B$15,"&lt;&gt;",D$10:D$15,"&lt;&gt;")&gt;=3,SLOPE(D$10:D$15,$B$10:$B$15),"입력 부족"),"계산 불가")</f>
        <v>입력 부족</v>
      </c>
      <c r="C19" s="24" t="str">
        <f aca="false">IFERROR(IF(COUNTIFS($C$10:$C$15,"&lt;&gt;",E$10:E$15,"&lt;&gt;")&gt;=3,SLOPE(E$10:E$15,$C$10:$C$15),"입력 부족"),"계산 불가")</f>
        <v>입력 부족</v>
      </c>
      <c r="D19" s="24" t="str">
        <f aca="false">IF(AND(ISNUMBER(B19),ISNUMBER(C19)),AVERAGE(B19:C19),"입력 부족")</f>
        <v>입력 부족</v>
      </c>
      <c r="E19" s="24" t="str">
        <f aca="false">COUNTIFS($B$10:$B$15,"&lt;&gt;",D$10:D$15,"&lt;&gt;")&amp;" / "&amp;COUNTIFS($C$10:$C$15,"&lt;&gt;",E$10:E$15,"&lt;&gt;")</f>
        <v>0 / 0</v>
      </c>
      <c r="F19" s="2"/>
      <c r="G19" s="2"/>
      <c r="H19" s="2"/>
      <c r="I19" s="2"/>
      <c r="J19" s="2"/>
    </row>
    <row r="20" customFormat="false" ht="15" hidden="false" customHeight="false" outlineLevel="0" collapsed="false">
      <c r="A20" s="12" t="s">
        <v>33</v>
      </c>
      <c r="B20" s="24" t="str">
        <f aca="false">IFERROR(IF(COUNTIFS($B$10:$B$15,"&lt;&gt;",F$10:F$15,"&lt;&gt;")&gt;=3,SLOPE(F$10:F$15,$B$10:$B$15),"입력 부족"),"계산 불가")</f>
        <v>입력 부족</v>
      </c>
      <c r="C20" s="24" t="str">
        <f aca="false">IFERROR(IF(COUNTIFS($C$10:$C$15,"&lt;&gt;",G$10:G$15,"&lt;&gt;")&gt;=3,SLOPE(G$10:G$15,$C$10:$C$15),"입력 부족"),"계산 불가")</f>
        <v>입력 부족</v>
      </c>
      <c r="D20" s="24" t="str">
        <f aca="false">IF(AND(ISNUMBER(B20),ISNUMBER(C20)),AVERAGE(B20:C20),"입력 부족")</f>
        <v>입력 부족</v>
      </c>
      <c r="E20" s="24" t="str">
        <f aca="false">COUNTIFS($B$10:$B$15,"&lt;&gt;",F$10:F$15,"&lt;&gt;")&amp;" / "&amp;COUNTIFS($C$10:$C$15,"&lt;&gt;",G$10:G$15,"&lt;&gt;")</f>
        <v>0 / 0</v>
      </c>
      <c r="F20" s="2"/>
      <c r="G20" s="2"/>
      <c r="H20" s="2"/>
      <c r="I20" s="2"/>
      <c r="J20" s="2"/>
    </row>
    <row r="21" customFormat="false" ht="15" hidden="false" customHeight="false" outlineLevel="0" collapsed="false">
      <c r="A21" s="12" t="s">
        <v>30</v>
      </c>
      <c r="B21" s="24" t="str">
        <f aca="false">IFERROR(IF(COUNTIFS($B$10:$B$15,"&lt;&gt;",H$10:H$15,"&lt;&gt;")&gt;=3,SLOPE(H$10:H$15,$B$10:$B$15),"입력 부족"),"계산 불가")</f>
        <v>입력 부족</v>
      </c>
      <c r="C21" s="24" t="str">
        <f aca="false">IFERROR(IF(COUNTIFS($C$10:$C$15,"&lt;&gt;",I$10:I$15,"&lt;&gt;")&gt;=3,SLOPE(I$10:I$15,$C$10:$C$15),"입력 부족"),"계산 불가")</f>
        <v>입력 부족</v>
      </c>
      <c r="D21" s="24" t="str">
        <f aca="false">IF(AND(ISNUMBER(B21),ISNUMBER(C21)),AVERAGE(B21:C21),"입력 부족")</f>
        <v>입력 부족</v>
      </c>
      <c r="E21" s="24" t="str">
        <f aca="false">COUNTIFS($B$10:$B$15,"&lt;&gt;",H$10:H$15,"&lt;&gt;")&amp;" / "&amp;COUNTIFS($C$10:$C$15,"&lt;&gt;",I$10:I$15,"&lt;&gt;")</f>
        <v>0 / 0</v>
      </c>
      <c r="F21" s="2"/>
      <c r="G21" s="2"/>
      <c r="H21" s="2"/>
      <c r="I21" s="2"/>
      <c r="J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true" outlineLevel="0" collapsed="false">
      <c r="A23" s="4" t="s">
        <v>69</v>
      </c>
      <c r="B23" s="4" t="s">
        <v>3</v>
      </c>
      <c r="C23" s="4"/>
      <c r="D23" s="4" t="s">
        <v>41</v>
      </c>
      <c r="E23" s="4"/>
      <c r="F23" s="4"/>
      <c r="G23" s="4"/>
      <c r="H23" s="4"/>
      <c r="I23" s="4"/>
      <c r="J23" s="4"/>
    </row>
    <row r="24" customFormat="false" ht="15" hidden="false" customHeight="false" outlineLevel="0" collapsed="false">
      <c r="A24" s="12" t="s">
        <v>70</v>
      </c>
      <c r="B24" s="15" t="str">
        <f aca="false">IF(AND(ISNUMBER(D21),ISNUMBER(D19)),IF(D19&lt;&gt;0,D21/D19,"B0 기울기 0"),"입력 대기")</f>
        <v>입력 대기</v>
      </c>
      <c r="C24" s="5"/>
      <c r="D24" s="7" t="s">
        <v>71</v>
      </c>
      <c r="E24" s="7"/>
      <c r="F24" s="7"/>
      <c r="G24" s="7"/>
      <c r="H24" s="7"/>
      <c r="I24" s="7"/>
      <c r="J24" s="7"/>
    </row>
    <row r="25" customFormat="false" ht="15" hidden="false" customHeight="false" outlineLevel="0" collapsed="false">
      <c r="A25" s="25" t="s">
        <v>72</v>
      </c>
      <c r="B25" s="25" t="str">
        <f aca="false">IF(ISNUMBER(B24),IF(B24&lt;$B$5,"C1-6k (12k 추종 붕괴)","C1-12k (주 비교)"),"입력 대기")</f>
        <v>입력 대기</v>
      </c>
      <c r="C25" s="5"/>
      <c r="D25" s="26" t="s">
        <v>73</v>
      </c>
      <c r="E25" s="26"/>
      <c r="F25" s="26"/>
      <c r="G25" s="26"/>
      <c r="H25" s="26"/>
      <c r="I25" s="26"/>
      <c r="J25" s="26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17" t="s">
        <v>74</v>
      </c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17" t="s">
        <v>75</v>
      </c>
      <c r="B28" s="2"/>
      <c r="C28" s="2"/>
      <c r="D28" s="2"/>
      <c r="E28" s="2"/>
      <c r="F28" s="2"/>
      <c r="G28" s="2"/>
      <c r="H28" s="2"/>
      <c r="I28" s="2"/>
      <c r="J28" s="2"/>
    </row>
  </sheetData>
  <mergeCells count="6">
    <mergeCell ref="D4:J4"/>
    <mergeCell ref="D5:J5"/>
    <mergeCell ref="D6:J6"/>
    <mergeCell ref="D23:J23"/>
    <mergeCell ref="D24:J24"/>
    <mergeCell ref="D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1" t="s">
        <v>76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4" t="s">
        <v>77</v>
      </c>
      <c r="B3" s="4" t="s">
        <v>78</v>
      </c>
      <c r="C3" s="4" t="s">
        <v>79</v>
      </c>
      <c r="D3" s="4" t="s">
        <v>80</v>
      </c>
      <c r="E3" s="4" t="s">
        <v>24</v>
      </c>
    </row>
    <row r="4" customFormat="false" ht="29.85" hidden="false" customHeight="false" outlineLevel="0" collapsed="false">
      <c r="A4" s="27" t="s">
        <v>81</v>
      </c>
      <c r="B4" s="28" t="s">
        <v>82</v>
      </c>
      <c r="C4" s="28" t="s">
        <v>83</v>
      </c>
      <c r="D4" s="28" t="s">
        <v>84</v>
      </c>
      <c r="E4" s="29" t="s">
        <v>85</v>
      </c>
    </row>
    <row r="5" customFormat="false" ht="15" hidden="false" customHeight="false" outlineLevel="0" collapsed="false">
      <c r="A5" s="27" t="s">
        <v>86</v>
      </c>
      <c r="B5" s="28" t="s">
        <v>87</v>
      </c>
      <c r="C5" s="28" t="s">
        <v>88</v>
      </c>
      <c r="D5" s="29" t="s">
        <v>89</v>
      </c>
      <c r="E5" s="28" t="s">
        <v>90</v>
      </c>
    </row>
    <row r="6" customFormat="false" ht="29.85" hidden="false" customHeight="false" outlineLevel="0" collapsed="false">
      <c r="A6" s="30" t="s">
        <v>91</v>
      </c>
      <c r="B6" s="29" t="s">
        <v>92</v>
      </c>
      <c r="C6" s="28" t="s">
        <v>93</v>
      </c>
      <c r="D6" s="29" t="s">
        <v>94</v>
      </c>
      <c r="E6" s="29" t="s">
        <v>95</v>
      </c>
    </row>
    <row r="7" customFormat="false" ht="29.85" hidden="false" customHeight="false" outlineLevel="0" collapsed="false">
      <c r="A7" s="27" t="s">
        <v>96</v>
      </c>
      <c r="B7" s="29" t="s">
        <v>97</v>
      </c>
      <c r="C7" s="28" t="s">
        <v>98</v>
      </c>
      <c r="D7" s="29" t="s">
        <v>99</v>
      </c>
      <c r="E7" s="29" t="s">
        <v>100</v>
      </c>
    </row>
    <row r="8" customFormat="false" ht="41" hidden="false" customHeight="false" outlineLevel="0" collapsed="false">
      <c r="A8" s="27" t="s">
        <v>101</v>
      </c>
      <c r="B8" s="29" t="s">
        <v>102</v>
      </c>
      <c r="C8" s="28" t="s">
        <v>103</v>
      </c>
      <c r="D8" s="29" t="s">
        <v>104</v>
      </c>
      <c r="E8" s="29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2026-10-03T10:05:56Z</dcterms:created>
  <dc:creator>openpyxl</dc:creator>
  <dc:description/>
  <dc:language>en-US</dc:language>
  <cp:lastModifiedBy/>
  <dcterms:modified xsi:type="dcterms:W3CDTF">2026-10-03T10:05:56Z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